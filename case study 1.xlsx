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97939bffe1597e6/Desktop/"/>
    </mc:Choice>
  </mc:AlternateContent>
  <xr:revisionPtr revIDLastSave="0" documentId="8_{54E5B2CC-BCF7-45E3-B261-1F0F443A82B3}" xr6:coauthVersionLast="47" xr6:coauthVersionMax="47" xr10:uidLastSave="{00000000-0000-0000-0000-000000000000}"/>
  <bookViews>
    <workbookView xWindow="-120" yWindow="-120" windowWidth="20730" windowHeight="11160" xr2:uid="{9A728749-E0BD-43E8-84EF-E21B8255F5B6}"/>
  </bookViews>
  <sheets>
    <sheet name="Sheet1" sheetId="1" r:id="rId1"/>
  </sheets>
  <definedNames>
    <definedName name="_xlnm._FilterDatabase" localSheetId="0" hidden="1">Sheet1!$A$1:$I$12</definedName>
  </definedNames>
  <calcPr calcId="181029"/>
  <pivotCaches>
    <pivotCache cacheId="8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2" i="1"/>
  <c r="I3" i="1"/>
  <c r="I4" i="1"/>
  <c r="I5" i="1"/>
  <c r="I6" i="1"/>
  <c r="I7" i="1"/>
  <c r="I8" i="1"/>
  <c r="I9" i="1"/>
  <c r="I10" i="1"/>
  <c r="I11" i="1"/>
  <c r="I12" i="1"/>
  <c r="I2" i="1"/>
</calcChain>
</file>

<file path=xl/sharedStrings.xml><?xml version="1.0" encoding="utf-8"?>
<sst xmlns="http://schemas.openxmlformats.org/spreadsheetml/2006/main" count="40" uniqueCount="29">
  <si>
    <t>InvoiceNo</t>
  </si>
  <si>
    <t>StockCode</t>
  </si>
  <si>
    <t>Description</t>
  </si>
  <si>
    <t>Quantity</t>
  </si>
  <si>
    <t>InvoiceDate</t>
  </si>
  <si>
    <t>UnitPrice</t>
  </si>
  <si>
    <t>CustomerID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</si>
  <si>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</si>
  <si>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</si>
  <si>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</si>
  <si>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</si>
  <si>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</si>
  <si>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</si>
  <si>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</si>
  <si>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</si>
  <si>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</si>
  <si>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SET 7 BABUSHKA NESTING BOXES</t>
  </si>
  <si>
    <t>France</t>
  </si>
  <si>
    <t>ASSORTED COLOUR BIRD ORNAMENT</t>
  </si>
  <si>
    <t>POPPY'S PLAYHOUSE BEDROOM</t>
  </si>
  <si>
    <t>REGENCY CAKESTAND 3 TIER</t>
  </si>
  <si>
    <t>HAND WARMER UNION JACK</t>
  </si>
  <si>
    <t>HOT WATER BOTTLE</t>
  </si>
  <si>
    <t>GLASS STAR FROSTED T-LIGHT HOLDER</t>
  </si>
  <si>
    <t>Row Labels</t>
  </si>
  <si>
    <t>Grand Total</t>
  </si>
  <si>
    <t>Sales</t>
  </si>
  <si>
    <t>Sum of Sales</t>
  </si>
  <si>
    <t>avg order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</si>
</sst>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3">
    <dxf>
      <fill>
        <patternFill>
          <bgColor rgb="FF0070C0"/>
        </patternFill>
      </fill>
    </dxf>
    <dxf>
      <fill>
        <patternFill>
          <bgColor rgb="FFFFFF0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UPUR" refreshedDate="46301.838838888892" createdVersion="7" refreshedVersion="7" minRefreshableVersion="3" recordCount="11" xr:uid="{912A643B-7AAB-41C1-9D85-B000EED762E2}">
  <cacheSource type="worksheet">
    <worksheetSource ref="A1:I12" sheet="Sheet1"/>
  </cacheSource>
  <cacheFields count="9">
    <cacheField name="InvoiceNo" numFmtId="0">
      <sharedItems containsSemiMixedTypes="0" containsString="0" containsNumber="1" containsInteger="1" minValue="536365" maxValue="536375"/>
    </cacheField>
    <cacheField name="StockCode" numFmtId="0">
      <sharedItems containsMixedTypes="1" containsNumber="1" containsInteger="1" minValue="21730" maxValue="84879"/>
    </cacheField>
    <cacheField name="Description" numFmtId="0">
      <sharedItems/>
    </cacheField>
    <cacheField name="Quantity" numFmtId="0">
      <sharedItems containsSemiMixedTypes="0" containsString="0" containsNumber="1" containsInteger="1" minValue="1" maxValue="32"/>
    </cacheField>
    <cacheField name="InvoiceDate" numFmtId="22">
      <sharedItems containsSemiMixedTypes="0" containsNonDate="0" containsDate="1" containsString="0" minDate="2010-12-01T08:26:00" maxDate="2010-12-01T09:10:00"/>
    </cacheField>
    <cacheField name="UnitPrice" numFmtId="0">
      <sharedItems containsSemiMixedTypes="0" containsString="0" containsNumber="1" minValue="1.69" maxValue="12.75"/>
    </cacheField>
    <cacheField name="CustomerID" numFmtId="0">
      <sharedItems containsSemiMixedTypes="0" containsString="0" containsNumber="1" containsInteger="1" minValue="12583" maxValue="17850"/>
    </cacheField>
    <cacheField name="Country" numFmtId="0">
      <sharedItems count="2">
        <s v="United Kingdom"/>
        <s v="France"/>
      </sharedItems>
    </cacheField>
    <cacheField name="Sales" numFmtId="0">
      <sharedItems containsSemiMixedTypes="0" containsString="0" containsNumber="1" minValue="11.100000000000001" maxValue="54.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n v="536365"/>
    <s v="85123A"/>
    <s v="WHITE HANGING HEART T-LIGHT HOLDER"/>
    <n v="6"/>
    <d v="2010-12-01T08:26:00"/>
    <n v="2.5499999999999998"/>
    <n v="17850"/>
    <x v="0"/>
    <n v="15.299999999999999"/>
  </r>
  <r>
    <n v="536366"/>
    <n v="71053"/>
    <s v="WHITE METAL LANTERN"/>
    <n v="6"/>
    <d v="2010-12-01T08:28:00"/>
    <n v="3.39"/>
    <n v="17850"/>
    <x v="0"/>
    <n v="20.34"/>
  </r>
  <r>
    <n v="536367"/>
    <s v="84406B"/>
    <s v="CREAM CUPID HEARTS COAT HANGER"/>
    <n v="8"/>
    <d v="2010-12-01T08:34:00"/>
    <n v="2.75"/>
    <n v="13047"/>
    <x v="0"/>
    <n v="22"/>
  </r>
  <r>
    <n v="536368"/>
    <s v="84029G"/>
    <s v="KNITTED UNION FLAG HOT WATER BOTTLE"/>
    <n v="6"/>
    <d v="2010-12-01T08:34:00"/>
    <n v="3.39"/>
    <n v="13047"/>
    <x v="0"/>
    <n v="20.34"/>
  </r>
  <r>
    <n v="536369"/>
    <n v="22752"/>
    <s v="SET 7 BABUSHKA NESTING BOXES"/>
    <n v="2"/>
    <d v="2010-12-01T08:35:00"/>
    <n v="7.65"/>
    <n v="12583"/>
    <x v="1"/>
    <n v="15.3"/>
  </r>
  <r>
    <n v="536370"/>
    <n v="84879"/>
    <s v="ASSORTED COLOUR BIRD ORNAMENT"/>
    <n v="32"/>
    <d v="2010-12-01T08:45:00"/>
    <n v="1.69"/>
    <n v="12583"/>
    <x v="1"/>
    <n v="54.08"/>
  </r>
  <r>
    <n v="536371"/>
    <n v="22745"/>
    <s v="POPPY'S PLAYHOUSE BEDROOM"/>
    <n v="6"/>
    <d v="2010-12-01T09:00:00"/>
    <n v="2.1"/>
    <n v="17850"/>
    <x v="0"/>
    <n v="12.600000000000001"/>
  </r>
  <r>
    <n v="536372"/>
    <n v="22423"/>
    <s v="REGENCY CAKESTAND 3 TIER"/>
    <n v="1"/>
    <d v="2010-12-01T09:01:00"/>
    <n v="12.75"/>
    <n v="17850"/>
    <x v="0"/>
    <n v="12.75"/>
  </r>
  <r>
    <n v="536373"/>
    <n v="22633"/>
    <s v="HAND WARMER UNION JACK"/>
    <n v="6"/>
    <d v="2010-12-01T09:02:00"/>
    <n v="1.85"/>
    <n v="17850"/>
    <x v="0"/>
    <n v="11.100000000000001"/>
  </r>
  <r>
    <n v="536374"/>
    <n v="22837"/>
    <s v="HOT WATER BOTTLE"/>
    <n v="3"/>
    <d v="2010-12-01T09:05:00"/>
    <n v="3.95"/>
    <n v="13047"/>
    <x v="0"/>
    <n v="11.850000000000001"/>
  </r>
  <r>
    <n v="536375"/>
    <n v="21730"/>
    <s v="GLASS STAR FROSTED T-LIGHT HOLDER"/>
    <n v="6"/>
    <d v="2010-12-01T09:10:00"/>
    <n v="4.25"/>
    <n v="13047"/>
    <x v="0"/>
    <n v="25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54159B-BE09-472E-847D-5067549F825A}" name="PivotTable2" cacheId="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5:B18" firstHeaderRow="1" firstDataRow="1" firstDataCol="1"/>
  <pivotFields count="9">
    <pivotField showAll="0"/>
    <pivotField showAll="0"/>
    <pivotField showAll="0"/>
    <pivotField showAll="0"/>
    <pivotField numFmtId="22" showAll="0"/>
    <pivotField showAll="0"/>
    <pivotField showAll="0"/>
    <pivotField axis="axisRow" showAll="0" sortType="ascending">
      <items count="3">
        <item x="1"/>
        <item x="0"/>
        <item t="default"/>
      </items>
    </pivotField>
    <pivotField dataField="1"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Sale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67C8-22F9-499F-AC4D-AA431DF91C32}">
  <dimension ref="A1:K18"/>
  <sheetViews>
    <sheetView tabSelected="1" workbookViewId="0">
      <selection activeCell="K2" sqref="K2"/>
    </sheetView>
  </sheetViews>
  <sheetFormatPr defaultRowHeight="15" x14ac:dyDescent="0.25"/>
  <cols>
    <col min="1" max="1" width="15.42578125" bestFit="1" customWidth="1"/>
    <col min="2" max="2" width="12.140625" bestFit="1" customWidth="1"/>
    <col min="3" max="3" width="38.5703125" bestFit="1" customWidth="1"/>
    <col min="4" max="4" width="11" bestFit="1" customWidth="1"/>
    <col min="5" max="5" width="15.5703125" bestFit="1" customWidth="1"/>
    <col min="6" max="6" width="11.5703125" bestFit="1" customWidth="1"/>
    <col min="7" max="7" width="11.42578125" bestFit="1" customWidth="1"/>
    <col min="8" max="8" width="15.42578125" bestFit="1" customWidth="1"/>
    <col min="9" max="9" width="8.42578125" bestFit="1" customWidth="1"/>
    <col min="10" max="10" width="14.7109375" bestFit="1" customWidth="1"/>
    <col min="11" max="11" width="11.140625" bestFit="1" customWidth="1"/>
  </cols>
  <sheetData>
    <row r="1" spans="1:1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26</v>
      </c>
      <c r="J1" s="3" t="s">
        <v>28</v>
      </c>
      <c r="K1" s="3"/>
    </row>
    <row r="2" spans="1:11" x14ac:dyDescent="0.25">
      <c r="A2" s="1">
        <v>536365</v>
      </c>
      <c r="B2" s="1" t="s">
        <v>8</v>
      </c>
      <c r="C2" s="1" t="s">
        <v>9</v>
      </c>
      <c r="D2" s="1">
        <v>6</v>
      </c>
      <c r="E2" s="2">
        <v>40513.351388888892</v>
      </c>
      <c r="F2" s="1">
        <v>2.5499999999999998</v>
      </c>
      <c r="G2" s="1">
        <v>17850</v>
      </c>
      <c r="H2" s="1" t="s">
        <v>10</v>
      </c>
      <c r="I2">
        <f>D2*F2</f>
        <v>15.299999999999999</v>
      </c>
      <c r="J2">
        <f>AVERAGE(I2:I12)</f>
        <v>20.105454545454545</v>
      </c>
    </row>
    <row r="3" spans="1:11" x14ac:dyDescent="0.25">
      <c r="A3" s="1">
        <v>536366</v>
      </c>
      <c r="B3" s="1">
        <v>71053</v>
      </c>
      <c r="C3" s="1" t="s">
        <v>11</v>
      </c>
      <c r="D3" s="1">
        <v>6</v>
      </c>
      <c r="E3" s="2">
        <v>40513.352777777778</v>
      </c>
      <c r="F3" s="1">
        <v>3.39</v>
      </c>
      <c r="G3" s="1">
        <v>17850</v>
      </c>
      <c r="H3" s="1" t="s">
        <v>10</v>
      </c>
      <c r="I3">
        <f t="shared" ref="I3:I12" si="0">D3*F3</f>
        <v>20.34</v>
      </c>
      <c r="J3">
        <f t="shared" ref="J3:J12" si="1">AVERAGE(I3:I13)</f>
        <v>20.585999999999999</v>
      </c>
    </row>
    <row r="4" spans="1:11" x14ac:dyDescent="0.25">
      <c r="A4" s="1">
        <v>536367</v>
      </c>
      <c r="B4" s="1" t="s">
        <v>12</v>
      </c>
      <c r="C4" s="1" t="s">
        <v>13</v>
      </c>
      <c r="D4" s="1">
        <v>8</v>
      </c>
      <c r="E4" s="2">
        <v>40513.356944444444</v>
      </c>
      <c r="F4" s="1">
        <v>2.75</v>
      </c>
      <c r="G4" s="1">
        <v>13047</v>
      </c>
      <c r="H4" s="1" t="s">
        <v>10</v>
      </c>
      <c r="I4">
        <f t="shared" si="0"/>
        <v>22</v>
      </c>
      <c r="J4">
        <f t="shared" si="1"/>
        <v>20.61333333333333</v>
      </c>
    </row>
    <row r="5" spans="1:11" x14ac:dyDescent="0.25">
      <c r="A5" s="1">
        <v>536368</v>
      </c>
      <c r="B5" s="1" t="s">
        <v>14</v>
      </c>
      <c r="C5" s="1" t="s">
        <v>15</v>
      </c>
      <c r="D5" s="1">
        <v>6</v>
      </c>
      <c r="E5" s="2">
        <v>40513.356944444444</v>
      </c>
      <c r="F5" s="1">
        <v>3.39</v>
      </c>
      <c r="G5" s="1">
        <v>13047</v>
      </c>
      <c r="H5" s="1" t="s">
        <v>10</v>
      </c>
      <c r="I5">
        <f t="shared" si="0"/>
        <v>20.34</v>
      </c>
      <c r="J5">
        <f t="shared" si="1"/>
        <v>20.439999999999998</v>
      </c>
    </row>
    <row r="6" spans="1:11" x14ac:dyDescent="0.25">
      <c r="A6" s="1">
        <v>536369</v>
      </c>
      <c r="B6" s="1">
        <v>22752</v>
      </c>
      <c r="C6" s="1" t="s">
        <v>16</v>
      </c>
      <c r="D6" s="1">
        <v>2</v>
      </c>
      <c r="E6" s="2">
        <v>40513.357638888891</v>
      </c>
      <c r="F6" s="1">
        <v>7.65</v>
      </c>
      <c r="G6" s="1">
        <v>12583</v>
      </c>
      <c r="H6" s="1" t="s">
        <v>17</v>
      </c>
      <c r="I6">
        <f t="shared" si="0"/>
        <v>15.3</v>
      </c>
      <c r="J6">
        <f t="shared" si="1"/>
        <v>20.45428571428571</v>
      </c>
    </row>
    <row r="7" spans="1:11" x14ac:dyDescent="0.25">
      <c r="A7" s="1">
        <v>536370</v>
      </c>
      <c r="B7" s="1">
        <v>84879</v>
      </c>
      <c r="C7" s="1" t="s">
        <v>18</v>
      </c>
      <c r="D7" s="1">
        <v>32</v>
      </c>
      <c r="E7" s="2">
        <v>40513.364583333336</v>
      </c>
      <c r="F7" s="1">
        <v>1.69</v>
      </c>
      <c r="G7" s="1">
        <v>12583</v>
      </c>
      <c r="H7" s="1" t="s">
        <v>17</v>
      </c>
      <c r="I7">
        <f t="shared" si="0"/>
        <v>54.08</v>
      </c>
      <c r="J7">
        <f t="shared" si="1"/>
        <v>21.313333333333333</v>
      </c>
    </row>
    <row r="8" spans="1:11" x14ac:dyDescent="0.25">
      <c r="A8" s="1">
        <v>536371</v>
      </c>
      <c r="B8" s="1">
        <v>22745</v>
      </c>
      <c r="C8" s="1" t="s">
        <v>19</v>
      </c>
      <c r="D8" s="1">
        <v>6</v>
      </c>
      <c r="E8" s="2">
        <v>40513.375</v>
      </c>
      <c r="F8" s="1">
        <v>2.1</v>
      </c>
      <c r="G8" s="1">
        <v>17850</v>
      </c>
      <c r="H8" s="1" t="s">
        <v>10</v>
      </c>
      <c r="I8">
        <f t="shared" si="0"/>
        <v>12.600000000000001</v>
      </c>
      <c r="J8">
        <f t="shared" si="1"/>
        <v>14.760000000000002</v>
      </c>
    </row>
    <row r="9" spans="1:11" x14ac:dyDescent="0.25">
      <c r="A9" s="1">
        <v>536372</v>
      </c>
      <c r="B9" s="1">
        <v>22423</v>
      </c>
      <c r="C9" s="1" t="s">
        <v>20</v>
      </c>
      <c r="D9" s="1">
        <v>1</v>
      </c>
      <c r="E9" s="2">
        <v>40513.375694444447</v>
      </c>
      <c r="F9" s="1">
        <v>12.75</v>
      </c>
      <c r="G9" s="1">
        <v>17850</v>
      </c>
      <c r="H9" s="1" t="s">
        <v>10</v>
      </c>
      <c r="I9">
        <f t="shared" si="0"/>
        <v>12.75</v>
      </c>
      <c r="J9">
        <f t="shared" si="1"/>
        <v>15.3</v>
      </c>
    </row>
    <row r="10" spans="1:11" x14ac:dyDescent="0.25">
      <c r="A10" s="1">
        <v>536373</v>
      </c>
      <c r="B10" s="1">
        <v>22633</v>
      </c>
      <c r="C10" s="1" t="s">
        <v>21</v>
      </c>
      <c r="D10" s="1">
        <v>6</v>
      </c>
      <c r="E10" s="2">
        <v>40513.376388888886</v>
      </c>
      <c r="F10" s="1">
        <v>1.85</v>
      </c>
      <c r="G10" s="1">
        <v>17850</v>
      </c>
      <c r="H10" s="1" t="s">
        <v>10</v>
      </c>
      <c r="I10">
        <f t="shared" si="0"/>
        <v>11.100000000000001</v>
      </c>
      <c r="J10">
        <f t="shared" si="1"/>
        <v>16.150000000000002</v>
      </c>
    </row>
    <row r="11" spans="1:11" x14ac:dyDescent="0.25">
      <c r="A11" s="1">
        <v>536374</v>
      </c>
      <c r="B11" s="1">
        <v>22837</v>
      </c>
      <c r="C11" s="1" t="s">
        <v>22</v>
      </c>
      <c r="D11" s="1">
        <v>3</v>
      </c>
      <c r="E11" s="2">
        <v>40513.378472222219</v>
      </c>
      <c r="F11" s="1">
        <v>3.95</v>
      </c>
      <c r="G11" s="1">
        <v>13047</v>
      </c>
      <c r="H11" s="1" t="s">
        <v>10</v>
      </c>
      <c r="I11">
        <f t="shared" si="0"/>
        <v>11.850000000000001</v>
      </c>
      <c r="J11">
        <f t="shared" si="1"/>
        <v>18.675000000000001</v>
      </c>
    </row>
    <row r="12" spans="1:11" x14ac:dyDescent="0.25">
      <c r="A12" s="1">
        <v>536375</v>
      </c>
      <c r="B12" s="1">
        <v>21730</v>
      </c>
      <c r="C12" s="1" t="s">
        <v>23</v>
      </c>
      <c r="D12" s="1">
        <v>6</v>
      </c>
      <c r="E12" s="2">
        <v>40513.381944444445</v>
      </c>
      <c r="F12" s="1">
        <v>4.25</v>
      </c>
      <c r="G12" s="1">
        <v>13047</v>
      </c>
      <c r="H12" s="1" t="s">
        <v>10</v>
      </c>
      <c r="I12">
        <f t="shared" si="0"/>
        <v>25.5</v>
      </c>
      <c r="J12">
        <f t="shared" si="1"/>
        <v>25.5</v>
      </c>
    </row>
    <row r="15" spans="1:11" x14ac:dyDescent="0.25">
      <c r="A15" s="4" t="s">
        <v>24</v>
      </c>
      <c r="B15" t="s">
        <v>27</v>
      </c>
    </row>
    <row r="16" spans="1:11" x14ac:dyDescent="0.25">
      <c r="A16" s="5" t="s">
        <v>17</v>
      </c>
      <c r="B16" s="6">
        <v>69.38</v>
      </c>
    </row>
    <row r="17" spans="1:2" x14ac:dyDescent="0.25">
      <c r="A17" s="5" t="s">
        <v>10</v>
      </c>
      <c r="B17" s="6">
        <v>151.78</v>
      </c>
    </row>
    <row r="18" spans="1:2" x14ac:dyDescent="0.25">
      <c r="A18" s="5" t="s">
        <v>25</v>
      </c>
      <c r="B18" s="6">
        <v>221.16</v>
      </c>
    </row>
  </sheetData>
  <autoFilter ref="A1:I12" xr:uid="{F96A67C8-22F9-499F-AC4D-AA431DF91C32}"/>
  <conditionalFormatting sqref="A2:A12">
    <cfRule type="expression" dxfId="2" priority="2">
      <formula>$I2&gt;10000</formula>
    </cfRule>
    <cfRule type="expression" dxfId="1" priority="1">
      <formula>$I2&gt;10000</formula>
    </cfRule>
  </conditionalFormatting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</dc:creator>
  <cp:lastModifiedBy>NUPUR</cp:lastModifiedBy>
  <dcterms:created xsi:type="dcterms:W3CDTF">2026-10-06T14:28:07Z</dcterms:created>
  <dcterms:modified xsi:type="dcterms:W3CDTF">2026-10-06T14:48:12Z</dcterms:modified>
</cp:coreProperties>
</file>